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Учеба\Управление IT-проектами и информационные менеджмент\Лабораторная работа №4\"/>
    </mc:Choice>
  </mc:AlternateContent>
  <xr:revisionPtr revIDLastSave="0" documentId="8_{DB543B1F-9EE6-40AB-8027-5BD740E3B90C}" xr6:coauthVersionLast="45" xr6:coauthVersionMax="45" xr10:uidLastSave="{00000000-0000-0000-0000-000000000000}"/>
  <bookViews>
    <workbookView xWindow="-108" yWindow="-108" windowWidth="23256" windowHeight="12576" xr2:uid="{1947204E-D833-43DC-BC3C-0A014C1DBF55}"/>
  </bookViews>
  <sheets>
    <sheet name="Лист1" sheetId="1" r:id="rId1"/>
  </sheets>
  <calcPr calcId="191029"/>
  <pivotCaches>
    <pivotCache cacheId="75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61A3A9-7C0C-423B-B3BE-40F9F1990143}" keepAlive="1" name="Подключение" type="5" refreshedVersion="6">
    <dbPr connection="Provider=MSOLAP.8;Persist Security Info=True;Data Source=C:\Users\evgen\AppData\Local\Temp\VisualReportsTemporaryData\{5ea512b6-64bc-ed11-a809-005056c00008}\TaskN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<sst xmlns="http://schemas.openxmlformats.org/spreadsheetml/2006/main" count="18" uniqueCount="17">
  <si>
    <t xml:space="preserve">Задача </t>
  </si>
  <si>
    <t>Test</t>
  </si>
  <si>
    <t>Общий итог</t>
  </si>
  <si>
    <t>Задача  1</t>
  </si>
  <si>
    <t>Начало проекта</t>
  </si>
  <si>
    <t>Анализ требований</t>
  </si>
  <si>
    <t>Разработка ТЗ</t>
  </si>
  <si>
    <t>Создание протатипа</t>
  </si>
  <si>
    <t>Разработка дизайна WEB-приложения</t>
  </si>
  <si>
    <t>Верстка и программирование</t>
  </si>
  <si>
    <t>Тестирование и отладвка WEB-прилоежения</t>
  </si>
  <si>
    <t>Внедрение</t>
  </si>
  <si>
    <t>Бюджет трудозатрат план</t>
  </si>
  <si>
    <t>Данные</t>
  </si>
  <si>
    <t>Затраты</t>
  </si>
  <si>
    <t>Затраты на сверхурочные</t>
  </si>
  <si>
    <t>Трудозатраты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</si>
</sst>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0" xfId="0" applyNumberFormat="1"/>
    <xf numFmtId="0" fontId="0" fillId="0" borderId="9" xfId="0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5" xfId="0" applyNumberFormat="1" applyBorder="1"/>
    <xf numFmtId="0" fontId="0" fillId="0" borderId="11" xfId="0" applyNumberFormat="1" applyBorder="1"/>
    <xf numFmtId="0" fontId="0" fillId="0" borderId="12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vgenij-2002@bk.ru" refreshedDate="44992.01812951389" createdVersion="6" refreshedVersion="6" recordCount="0" supportSubquery="1" supportAdvancedDrill="1" xr:uid="{649F6DB5-A544-4EE0-8278-154637738B93}">
  <cacheSource type="external" connectionId="1"/>
  <cacheFields count="24">
    <cacheField name="[Задачи].[Задачи].[Задача ]" caption="Задача " numFmtId="0" level="1" mappingCount="17">
      <sharedItems count="1">
        <s v="[Задачи].[Задачи].&amp;[{FF16A9FB-FEB6-ED11-A809-A86DAAC23EB2}]" c="Test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Задача  1]" caption="Задача  1" numFmtId="0" level="2" mappingCount="17">
      <sharedItems count="9">
        <s v="[Задачи].[Задачи].&amp;[{FF16A9FB-FEB6-ED11-A809-A86DAAC23EB2}].DATAMEMBER" c="Test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Задачи].[Задачи].&amp;[{0017A9FB-FEB6-ED11-A809-A86DAAC23EB2}]" c="Начало проекта" cp="17">
          <x v="1"/>
          <x v="1"/>
          <x/>
          <x v="1"/>
          <x v="1"/>
          <x v="1"/>
          <x/>
          <x/>
          <x v="1"/>
          <x v="1"/>
          <x/>
          <x v="1"/>
          <x v="1"/>
          <x/>
          <x/>
          <x v="1"/>
          <x/>
        </s>
        <s v="[Задачи].[Задачи].&amp;[{0117A9FB-FEB6-ED11-A809-A86DAAC23EB2}]" c="Анализ требований" cp="17">
          <x v="2"/>
          <x v="2"/>
          <x/>
          <x v="2"/>
          <x v="2"/>
          <x v="2"/>
          <x/>
          <x/>
          <x v="2"/>
          <x v="1"/>
          <x/>
          <x v="2"/>
          <x v="2"/>
          <x/>
          <x v="1"/>
          <x v="2"/>
          <x/>
        </s>
        <s v="[Задачи].[Задачи].&amp;[{0A17A9FB-FEB6-ED11-A809-A86DAAC23EB2}]" c="Разработка ТЗ" cp="17">
          <x v="3"/>
          <x v="3"/>
          <x v="1"/>
          <x v="3"/>
          <x v="3"/>
          <x v="3"/>
          <x/>
          <x/>
          <x v="3"/>
          <x v="1"/>
          <x v="1"/>
          <x/>
          <x v="3"/>
          <x/>
          <x/>
          <x v="3"/>
          <x/>
        </s>
        <s v="[Задачи].[Задачи].&amp;[{1017A9FB-FEB6-ED11-A809-A86DAAC23EB2}]" c="Создание протатипа" cp="17">
          <x v="4"/>
          <x v="4"/>
          <x v="2"/>
          <x v="4"/>
          <x v="4"/>
          <x v="4"/>
          <x/>
          <x/>
          <x v="4"/>
          <x v="1"/>
          <x v="2"/>
          <x/>
          <x v="4"/>
          <x/>
          <x/>
          <x v="4"/>
          <x/>
        </s>
        <s v="[Задачи].[Задачи].&amp;[{1417A9FB-FEB6-ED11-A809-A86DAAC23EB2}]" c="Разработка дизайна WEB-приложения" cp="17">
          <x v="5"/>
          <x v="5"/>
          <x v="3"/>
          <x v="5"/>
          <x v="5"/>
          <x v="5"/>
          <x/>
          <x/>
          <x v="5"/>
          <x v="1"/>
          <x v="3"/>
          <x/>
          <x v="5"/>
          <x/>
          <x/>
          <x v="5"/>
          <x/>
        </s>
        <s v="[Задачи].[Задачи].&amp;[{1A17A9FB-FEB6-ED11-A809-A86DAAC23EB2}]" c="Верстка и программирование" cp="17">
          <x v="6"/>
          <x v="6"/>
          <x v="4"/>
          <x v="6"/>
          <x v="6"/>
          <x v="6"/>
          <x/>
          <x/>
          <x v="6"/>
          <x v="1"/>
          <x v="4"/>
          <x/>
          <x v="6"/>
          <x/>
          <x/>
          <x v="6"/>
          <x/>
        </s>
        <s v="[Задачи].[Задачи].&amp;[{2217A9FB-FEB6-ED11-A809-A86DAAC23EB2}]" c="Тестирование и отладвка WEB-прилоежения" cp="17">
          <x v="7"/>
          <x v="3"/>
          <x v="5"/>
          <x v="7"/>
          <x v="7"/>
          <x v="7"/>
          <x/>
          <x/>
          <x v="3"/>
          <x v="1"/>
          <x v="5"/>
          <x/>
          <x v="7"/>
          <x/>
          <x/>
          <x v="7"/>
          <x/>
        </s>
        <s v="[Задачи].[Задачи].&amp;[{2717A9FB-FEB6-ED11-A809-A86DAAC23EB2}]" c="Внедрение" cp="17">
          <x v="8"/>
          <x v="7"/>
          <x v="6"/>
          <x/>
          <x v="8"/>
          <x v="8"/>
          <x/>
          <x/>
          <x v="7"/>
          <x v="1"/>
          <x v="6"/>
          <x/>
          <x/>
          <x/>
          <x/>
          <x v="8"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Задача  2]" caption="Задача  2" numFmtId="0" level="3">
      <sharedItems containsSemiMixedTypes="0" containsString="0"/>
    </cacheField>
    <cacheField name="[Задачи].[Задачи].[TaskID]" caption="TaskID" propertyName="TaskID" numFmtId="0" level="32767" memberPropertyField="1">
      <sharedItems count="9">
        <s v="0"/>
        <s v="1"/>
        <s v="2"/>
        <s v="11"/>
        <s v="17"/>
        <s v="21"/>
        <s v="27"/>
        <s v="35"/>
        <s v="40"/>
      </sharedItems>
    </cacheField>
    <cacheField name="[Задачи].[Задачи].[Базовая длительность]" caption="Базовая длительность" propertyName="Базовая длительность" numFmtId="0" level="32767" memberPropertyField="1">
      <sharedItems count="8">
        <s v="101 дней"/>
        <s v="0 дней"/>
        <s v="17 дней"/>
        <s v="13 дней"/>
        <s v="6 дней"/>
        <s v="18 дней"/>
        <s v="29 дней"/>
        <s v="5 дней"/>
      </sharedItems>
    </cacheField>
    <cacheField name="[Задачи].[Задачи].[Базовое начало]" caption="Базовое начало" propertyName="Базовое начало" numFmtId="0" level="32767" memberPropertyField="1">
      <sharedItems count="7">
        <s v="Вт 21.02.23"/>
        <s v="Пт 17.03.23"/>
        <s v="Ср 05.04.23"/>
        <s v="Чт 13.04.23"/>
        <s v="Пт 12.05.23"/>
        <s v="Чт 22.06.23"/>
        <s v="Ср 12.07.23"/>
      </sharedItems>
    </cacheField>
    <cacheField name="[Задачи].[Задачи].[Базовое окончание]" caption="Базовое окончание" propertyName="Базовое окончание" numFmtId="0" level="32767" memberPropertyField="1">
      <sharedItems count="8">
        <s v="Ср 19.07.23"/>
        <s v="Вт 21.02.23"/>
        <s v="Пт 17.03.23"/>
        <s v="Ср 05.04.23"/>
        <s v="Чт 13.04.23"/>
        <s v="Пт 12.05.23"/>
        <s v="Чт 22.06.23"/>
        <s v="Ср 12.07.23"/>
      </sharedItems>
    </cacheField>
    <cacheField name="[Задачи].[Задачи].[Базовые затраты]" caption="Базовые затраты" propertyName="Базовые затраты" numFmtId="0" level="32767" memberPropertyField="1">
      <sharedItems count="9">
        <s v="30946.100000000002"/>
        <s v="0"/>
        <s v="10499.5"/>
        <s v="5689"/>
        <s v="2132"/>
        <s v="3281.8000000000002"/>
        <s v="4988.8000000000002"/>
        <s v="2042"/>
        <s v="2313"/>
      </sharedItems>
    </cacheField>
    <cacheField name="[Задачи].[Задачи].[Базовые трудозатраты]" caption="Базовые трудозатраты" propertyName="Базовые трудозатраты" numFmtId="0" level="32767" memberPropertyField="1">
      <sharedItems count="9">
        <s v="1270.2"/>
        <s v="0"/>
        <s v="295"/>
        <s v="172"/>
        <s v="44.800000000000004"/>
        <s v="172.80000000000001"/>
        <s v="371.20000000000005"/>
        <s v="134.40000000000001"/>
        <s v="80"/>
      </sharedItems>
    </cacheField>
    <cacheField name="[Задачи].[Задачи].[Выравнивающая задержка]" caption="Выравнивающая задержка" propertyName="Выравнивающая задержка" numFmtId="0" level="32767" memberPropertyField="1">
      <sharedItems count="1">
        <s v="0"/>
      </sharedItems>
    </cacheField>
    <cacheField name="[Задачи].[Задачи].[Дата ограничения]" caption="Дата ограничения" propertyName="Дата ограничения" numFmtId="0" level="32767" memberPropertyField="1">
      <sharedItems count="1">
        <s v=""/>
      </sharedItems>
    </cacheField>
    <cacheField name="[Задачи].[Задачи].[Длительность]" caption="Длительность" propertyName="Длительность" numFmtId="0" level="32767" memberPropertyField="1">
      <sharedItems count="8">
        <s v="101 дней"/>
        <s v="0 дней"/>
        <s v="17 дней"/>
        <s v="13 дней"/>
        <s v="6 дней"/>
        <s v="18 дней"/>
        <s v="29 дней"/>
        <s v="5 дней"/>
      </sharedItems>
    </cacheField>
    <cacheField name="[Задачи].[Задачи].[Задачи]" caption="Задачи" propertyName="Задачи" numFmtId="0" level="32767" memberPropertyField="1">
      <sharedItems containsBlank="1" count="2">
        <m/>
        <s v="Test"/>
      </sharedItems>
    </cacheField>
    <cacheField name="[Задачи].[Задачи].[Начало]" caption="Начало" propertyName="Начало" numFmtId="0" level="32767" memberPropertyField="1">
      <sharedItems count="7">
        <s v="Вт 21.02.23"/>
        <s v="Пт 17.03.23"/>
        <s v="Ср 05.04.23"/>
        <s v="Чт 13.04.23"/>
        <s v="Пт 12.05.23"/>
        <s v="Чт 22.06.23"/>
        <s v="Ср 12.07.23"/>
      </sharedItems>
    </cacheField>
    <cacheField name="[Задачи].[Задачи].[Общий резерв времени]" caption="Общий резерв времени" propertyName="Общий резерв времени" numFmtId="0" level="32767" memberPropertyField="1">
      <sharedItems count="3">
        <s v="0"/>
        <s v="76.666666666666671"/>
        <s v="2"/>
      </sharedItems>
    </cacheField>
    <cacheField name="[Задачи].[Задачи].[Окончание]" caption="Окончание" propertyName="Окончание" numFmtId="0" level="32767" memberPropertyField="1">
      <sharedItems count="8">
        <s v="Ср 19.07.23"/>
        <s v="Вт 21.02.23"/>
        <s v="Пт 17.03.23"/>
        <s v="Ср 05.04.23"/>
        <s v="Чт 13.04.23"/>
        <s v="Пт 12.05.23"/>
        <s v="Чт 22.06.23"/>
        <s v="Ср 12.07.23"/>
      </sharedItems>
    </cacheField>
    <cacheField name="[Задачи].[Задачи].[Приоритет]" caption="Приоритет" propertyName="Приоритет" numFmtId="0" level="32767" memberPropertyField="1">
      <sharedItems count="1">
        <s v="500"/>
      </sharedItems>
    </cacheField>
    <cacheField name="[Задачи].[Задачи].[Свободный резерв времени]" caption="Свободный резерв времени" propertyName="Свободный резерв времени" numFmtId="0" level="32767" memberPropertyField="1">
      <sharedItems count="2">
        <s v="0"/>
        <s v="2"/>
      </sharedItems>
    </cacheField>
    <cacheField name="[Задачи].[Задачи].[СДР]" caption="СДР" propertyName="СДР" numFmtId="0" level="32767" memberPropertyField="1">
      <sharedItems count="9">
        <s v="0"/>
        <s v="1"/>
        <s v="2"/>
        <s v="3"/>
        <s v="4"/>
        <s v="5"/>
        <s v="6"/>
        <s v="7"/>
        <s v="8"/>
      </sharedItems>
    </cacheField>
    <cacheField name="[Задачи].[Задачи].[Физический процент завершения]" caption="Физический процент завершения" propertyName="Физический процент завершения" numFmtId="0" level="32767" memberPropertyField="1">
      <sharedItems count="1">
        <s v="0"/>
      </sharedItems>
    </cacheField>
    <cacheField name="[Measures].[Бюджет трудозатрат план]" caption="Бюджет трудозатрат план" numFmtId="0" hierarchy="23" level="32767"/>
    <cacheField name="[Measures].[Затраты]" caption="Затраты" numFmtId="0" hierarchy="26" level="32767"/>
    <cacheField name="[Measures].[Затраты на сверхурочные]" caption="Затраты на сверхурочные" numFmtId="0" hierarchy="29" level="32767"/>
    <cacheField name="[Measures].[Трудозатраты]" caption="Трудозатраты" numFmtId="0" hierarchy="36" level="32767"/>
  </cacheFields>
  <cacheHierarchies count="38">
    <cacheHierarchy uniqueName="[Задачи].[Задачи]" caption="Задачи" defaultMemberUniqueName="[Задачи].[Задачи].[Все]" allUniqueName="[Задачи].[Задачи].[Все]" dimensionUniqueName="[Задачи]" displayFolder="" count="4" unbalanced="1">
      <fieldsUsage count="4">
        <fieldUsage x="-1"/>
        <fieldUsage x="0"/>
        <fieldUsage x="1"/>
        <fieldUsage x="2"/>
      </fieldsUsage>
    </cacheHierarchy>
    <cacheHierarchy uniqueName="[Задачи].[TaskID]" caption="TaskID" attribute="1" defaultMemberUniqueName="[Задачи].[TaskID].[Все]" allUniqueName="[Задачи].[TaskID].[Все]" dimensionUniqueName="[Задачи]" displayFolder="" count="0" unbalanced="0" hidden="1"/>
    <cacheHierarchy uniqueName="[Задачи].[TaskUID]" caption="TaskUID" attribute="1" keyAttribute="1" defaultMemberUniqueName="[Задачи].[TaskUID].[Все]" allUniqueName="[Задачи].[TaskUID].[Все]" dimensionUniqueName="[Задачи]" displayFolder="" count="0" unbalanced="0" hidden="1"/>
    <cacheHierarchy uniqueName="[Задачи].[Базовая длительность]" caption="Базовая длительность" attribute="1" defaultMemberUniqueName="[Задачи].[Базовая длительность].[Все]" allUniqueName="[Задачи].[Базовая длительность].[Все]" dimensionUniqueName="[Задачи]" displayFolder="" count="0" unbalanced="0" hidden="1"/>
    <cacheHierarchy uniqueName="[Задачи].[Базовое начало]" caption="Базовое начало" attribute="1" defaultMemberUniqueName="[Задачи].[Базовое начало].[Все]" allUniqueName="[Задачи].[Базовое начало].[Все]" dimensionUniqueName="[Задачи]" displayFolder="" count="0" unbalanced="0" hidden="1"/>
    <cacheHierarchy uniqueName="[Задачи].[Базовое окончание]" caption="Базовое окончание" attribute="1" defaultMemberUniqueName="[Задачи].[Базовое окончание].[Все]" allUniqueName="[Задачи].[Базовое окончание].[Все]" dimensionUniqueName="[Задачи]" displayFolder="" count="0" unbalanced="0" hidden="1"/>
    <cacheHierarchy uniqueName="[Задачи].[Базовые затраты]" caption="Базовые затраты" attribute="1" defaultMemberUniqueName="[Задачи].[Базовые затраты].[Все]" allUniqueName="[Задачи].[Базовые затраты].[Все]" dimensionUniqueName="[Задачи]" displayFolder="" count="0" unbalanced="0" hidden="1"/>
    <cacheHierarchy uniqueName="[Задачи].[Базовые трудозатраты]" caption="Базовые трудозатраты" attribute="1" defaultMemberUniqueName="[Задачи].[Базовые трудозатраты].[Все]" allUniqueName="[Задачи].[Базовые трудозатраты].[Все]" dimensionUniqueName="[Задачи]" displayFolder="" count="0" unbalanced="0" hidden="1"/>
    <cacheHierarchy uniqueName="[Задачи].[Выравнивающая задержка]" caption="Выравнивающая задержка" attribute="1" defaultMemberUniqueName="[Задачи].[Выравнивающая задержка].[Все]" allUniqueName="[Задачи].[Выравнивающая задержка].[Все]" dimensionUniqueName="[Задачи]" displayFolder="" count="0" unbalanced="0" hidden="1"/>
    <cacheHierarchy uniqueName="[Задачи].[Дата ограничения]" caption="Дата ограничения" attribute="1" defaultMemberUniqueName="[Задачи].[Дата ограничения].[Все]" allUniqueName="[Задачи].[Дата ограничения].[Все]" dimensionUniqueName="[Задачи]" displayFolder="" count="0" unbalanced="0" hidden="1"/>
    <cacheHierarchy uniqueName="[Задачи].[Длительность]" caption="Длительность" attribute="1" defaultMemberUniqueName="[Задачи].[Длительность].[Все]" allUniqueName="[Задачи].[Длительность].[Все]" dimensionUniqueName="[Задачи]" displayFolder="" count="0" unbalanced="0" hidden="1"/>
    <cacheHierarchy uniqueName="[Задачи].[Начало]" caption="Начало" attribute="1" defaultMemberUniqueName="[Задачи].[Начало].[Все]" allUniqueName="[Задачи].[Начало].[Все]" dimensionUniqueName="[Задачи]" displayFolder="" count="0" unbalanced="0" hidden="1"/>
    <cacheHierarchy uniqueName="[Задачи].[Общий резерв времени]" caption="Общий резерв времени" attribute="1" defaultMemberUniqueName="[Задачи].[Общий резерв времени].[Все]" allUniqueName="[Задачи].[Общий резерв времени].[Все]" dimensionUniqueName="[Задачи]" displayFolder="" count="0" unbalanced="0" hidden="1"/>
    <cacheHierarchy uniqueName="[Задачи].[Окончание]" caption="Окончание" attribute="1" defaultMemberUniqueName="[Задачи].[Окончание].[Все]" allUniqueName="[Задачи].[Окончание].[Все]" dimensionUniqueName="[Задачи]" displayFolder="" count="0" unbalanced="0" hidden="1"/>
    <cacheHierarchy uniqueName="[Задачи].[Приоритет]" caption="Приоритет" attribute="1" defaultMemberUniqueName="[Задачи].[Приоритет].[Все]" allUniqueName="[Задачи].[Приоритет].[Все]" dimensionUniqueName="[Задачи]" displayFolder="" count="0" unbalanced="0" hidden="1"/>
    <cacheHierarchy uniqueName="[Задачи].[Свободный резерв времени]" caption="Свободный резерв времени" attribute="1" defaultMemberUniqueName="[Задачи].[Свободный резерв времени].[Все]" allUniqueName="[Задачи].[Свободный резерв времени].[Все]" dimensionUniqueName="[Задачи]" displayFolder="" count="0" unbalanced="0" hidden="1"/>
    <cacheHierarchy uniqueName="[Задачи].[СДР]" caption="СДР" attribute="1" defaultMemberUniqueName="[Задачи].[СДР].[Все]" allUniqueName="[Задачи].[СДР].[Все]" dimensionUniqueName="[Задачи]" displayFolder="" count="0" unbalanced="0" hidden="1"/>
    <cacheHierarchy uniqueName="[Задачи].[Физический процент завершения]" caption="Физический процент завершения" attribute="1" defaultMemberUniqueName="[Задачи].[Физический процент завершения].[Все]" allUniqueName="[Задачи].[Физический процент завершения].[Все]" dimensionUniqueName="[Задачи]" displayFolder="" count="0" unbalanced="0" hidden="1"/>
    <cacheHierarchy uniqueName="[Measures].[Фактические затраты]" caption="Фактические затраты" measure="1" displayFolder="" measureGroup="Значения" count="0"/>
    <cacheHierarchy uniqueName="[Measures].[Фактические затраты на сверхурочные]" caption="Фактические затраты на сверхурочные" measure="1" displayFolder="" measureGroup="Значения" count="0"/>
    <cacheHierarchy uniqueName="[Measures].[Фактические сверхурочные трудозатраты]" caption="Фактические сверхурочные трудозатраты" measure="1" displayFolder="" measureGroup="Значения" count="0"/>
    <cacheHierarchy uniqueName="[Measures].[Фактические трудозатраты]" caption="Фактические трудозатраты" measure="1" displayFolder="" measureGroup="Значения" count="0"/>
    <cacheHierarchy uniqueName="[Measures].[Бюджетные затраты план]" caption="Бюджетные затраты план" measure="1" displayFolder="" measureGroup="Значения" count="0"/>
    <cacheHierarchy uniqueName="[Measures].[Бюджет трудозатрат план]" caption="Бюджет трудозатрат план" measure="1" displayFolder="" measureGroup="Значения" count="0" oneField="1">
      <fieldsUsage count="1">
        <fieldUsage x="20"/>
      </fieldsUsage>
    </cacheHierarchy>
    <cacheHierarchy uniqueName="[Measures].[Бюджетная стоимость]" caption="Бюджетная стоимость" measure="1" displayFolder="" measureGroup="Значения" count="0"/>
    <cacheHierarchy uniqueName="[Measures].[Бюджетные трудозатраты]" caption="Бюджетные трудозатраты" measure="1" displayFolder="" measureGroup="Значения" count="0"/>
    <cacheHierarchy uniqueName="[Measures].[Затраты]" caption="Затраты" measure="1" displayFolder="" measureGroup="Значения" count="0" oneField="1">
      <fieldsUsage count="1">
        <fieldUsage x="21"/>
      </fieldsUsage>
    </cacheHierarchy>
    <cacheHierarchy uniqueName="[Measures].[Отклонение по стоимости]" caption="Отклонение по стоимости" measure="1" displayFolder="" measureGroup="Значения" count="0"/>
    <cacheHierarchy uniqueName="[Measures].[Фиксированные затраты]" caption="Фиксированные затраты" measure="1" displayFolder="" measureGroup="Значения" count="0"/>
    <cacheHierarchy uniqueName="[Measures].[Затраты на сверхурочные]" caption="Затраты на сверхурочные" measure="1" displayFolder="" measureGroup="Значения" count="0" oneField="1">
      <fieldsUsage count="1">
        <fieldUsage x="22"/>
      </fieldsUsage>
    </cacheHierarchy>
    <cacheHierarchy uniqueName="[Measures].[Трудозатраты сверхурочно]" caption="Трудозатраты сверхурочно" measure="1" displayFolder="" measureGroup="Значения" count="0"/>
    <cacheHierarchy uniqueName="[Measures].[Обычные трудозатраты]" caption="Обычные трудозатраты" measure="1" displayFolder="" measureGroup="Значения" count="0"/>
    <cacheHierarchy uniqueName="[Measures].[Оставшиеся затраты]" caption="Оставшиеся затраты" measure="1" displayFolder="" measureGroup="Значения" count="0"/>
    <cacheHierarchy uniqueName="[Measures].[Остаток на сверхурочные]" caption="Остаток на сверхурочные" measure="1" displayFolder="" measureGroup="Значения" count="0"/>
    <cacheHierarchy uniqueName="[Measures].[Остаток сверхурочных]" caption="Остаток сверхурочных" measure="1" displayFolder="" measureGroup="Значения" count="0"/>
    <cacheHierarchy uniqueName="[Measures].[Оставшиеся трудозатраты]" caption="Оставшиеся трудозатраты" measure="1" displayFolder="" measureGroup="Значения" count="0"/>
    <cacheHierarchy uniqueName="[Measures].[Трудозатраты]" caption="Трудозатраты" measure="1" displayFolder="" measureGroup="Значения" count="0" oneField="1">
      <fieldsUsage count="1">
        <fieldUsage x="23"/>
      </fieldsUsage>
    </cacheHierarchy>
    <cacheHierarchy uniqueName="[Measures].[Расхождение трудозатрат]" caption="Расхождение трудозатрат" measure="1" displayFolder="" measureGroup="Значения" count="0"/>
  </cacheHierarchies>
  <kpis count="0"/>
  <dimensions count="2">
    <dimension measure="1" name="Measures" uniqueName="[Measures]" caption="Measures"/>
    <dimension name="Задачи" uniqueName="[Задачи]" caption="Задачи"/>
  </dimensions>
  <measureGroups count="1">
    <measureGroup name="Значения" caption="Значения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F9E7F9-D625-4608-8E33-25D65C35014D}" name="Report" cacheId="75" applyNumberFormats="0" applyBorderFormats="0" applyFontFormats="0" applyPatternFormats="0" applyAlignmentFormats="0" applyWidthHeightFormats="1" dataCaption="Данные" updatedVersion="6" minRefreshableVersion="3" useAutoFormatting="1" subtotalHiddenItems="1" itemPrintTitles="1" createdVersion="6" indent="0" compact="0" compactData="0" gridDropZones="1" fieldListSortAscending="1">
  <location ref="A1:F12" firstHeaderRow="1" firstDataRow="2" firstDataCol="2"/>
  <pivotFields count="24"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9">
        <item x="0"/>
        <item x="1"/>
        <item c="1" x="2"/>
        <item c="1" x="3"/>
        <item c="1" x="4"/>
        <item c="1" x="5"/>
        <item c="1" x="6"/>
        <item c="1" x="7"/>
        <item c="1" x="8"/>
      </items>
    </pivotField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20" baseField="0" baseItem="0"/>
    <dataField fld="21" baseField="0" baseItem="0"/>
    <dataField fld="22" baseField="0" baseItem="0"/>
    <dataField fld="23" baseField="0" baseItem="0"/>
  </dataFields>
  <pivotHierarchies count="38">
    <pivotHierarchy includeNewItemsInFilter="1">
      <mps count="17">
        <mp field="3"/>
        <mp field="4"/>
        <mp field="5"/>
        <mp field="6"/>
        <mp field="7"/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</pivotHierarchies>
  <pivotTableStyleInfo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87B61-33CE-481D-A0E6-CFF220F47AD9}">
  <dimension ref="A1:F12"/>
  <sheetViews>
    <sheetView tabSelected="1" workbookViewId="0">
      <selection activeCell="D23" sqref="D23"/>
    </sheetView>
  </sheetViews>
  <sheetFormatPr defaultRowHeight="14.4" x14ac:dyDescent="0.3"/>
  <cols>
    <col min="1" max="1" width="23.44140625" bestFit="1" customWidth="1"/>
    <col min="2" max="2" width="42.5546875" bestFit="1" customWidth="1"/>
    <col min="3" max="3" width="23.44140625" bestFit="1" customWidth="1"/>
    <col min="4" max="4" width="8" bestFit="1" customWidth="1"/>
    <col min="5" max="5" width="23.33203125" bestFit="1" customWidth="1"/>
    <col min="6" max="7" width="12.88671875" bestFit="1" customWidth="1"/>
    <col min="8" max="10" width="42.5546875" bestFit="1" customWidth="1"/>
    <col min="11" max="11" width="11.21875" bestFit="1" customWidth="1"/>
    <col min="12" max="12" width="37" bestFit="1" customWidth="1"/>
    <col min="13" max="13" width="29" bestFit="1" customWidth="1"/>
    <col min="14" max="14" width="42.5546875" bestFit="1" customWidth="1"/>
    <col min="15" max="15" width="12.5546875" bestFit="1" customWidth="1"/>
    <col min="16" max="16" width="11.21875" bestFit="1" customWidth="1"/>
    <col min="17" max="17" width="42.5546875" bestFit="1" customWidth="1"/>
    <col min="18" max="18" width="12.5546875" bestFit="1" customWidth="1"/>
    <col min="19" max="19" width="11.21875" bestFit="1" customWidth="1"/>
  </cols>
  <sheetData>
    <row r="1" spans="1:6" x14ac:dyDescent="0.3">
      <c r="A1" s="1"/>
      <c r="B1" s="2"/>
      <c r="C1" s="5" t="s">
        <v>13</v>
      </c>
      <c r="D1" s="2"/>
      <c r="E1" s="2"/>
      <c r="F1" s="3"/>
    </row>
    <row r="2" spans="1:6" x14ac:dyDescent="0.3">
      <c r="A2" s="5" t="s">
        <v>0</v>
      </c>
      <c r="B2" s="5" t="s">
        <v>3</v>
      </c>
      <c r="C2" s="1" t="s">
        <v>12</v>
      </c>
      <c r="D2" s="9" t="s">
        <v>14</v>
      </c>
      <c r="E2" s="9" t="s">
        <v>15</v>
      </c>
      <c r="F2" s="14" t="s">
        <v>16</v>
      </c>
    </row>
    <row r="3" spans="1:6" x14ac:dyDescent="0.3">
      <c r="A3" s="1" t="s">
        <v>1</v>
      </c>
      <c r="B3" s="1" t="s">
        <v>1</v>
      </c>
      <c r="C3" s="10">
        <v>0</v>
      </c>
      <c r="D3" s="11">
        <v>0</v>
      </c>
      <c r="E3" s="11">
        <v>0</v>
      </c>
      <c r="F3" s="15">
        <v>0</v>
      </c>
    </row>
    <row r="4" spans="1:6" x14ac:dyDescent="0.3">
      <c r="A4" s="4"/>
      <c r="B4" s="7" t="s">
        <v>4</v>
      </c>
      <c r="C4" s="12">
        <v>0</v>
      </c>
      <c r="D4" s="13">
        <v>0</v>
      </c>
      <c r="E4" s="13">
        <v>0</v>
      </c>
      <c r="F4" s="16">
        <v>0</v>
      </c>
    </row>
    <row r="5" spans="1:6" x14ac:dyDescent="0.3">
      <c r="A5" s="4"/>
      <c r="B5" s="7" t="s">
        <v>5</v>
      </c>
      <c r="C5" s="12">
        <v>0</v>
      </c>
      <c r="D5" s="13">
        <v>10499.5</v>
      </c>
      <c r="E5" s="13">
        <v>0</v>
      </c>
      <c r="F5" s="16">
        <v>295</v>
      </c>
    </row>
    <row r="6" spans="1:6" x14ac:dyDescent="0.3">
      <c r="A6" s="4"/>
      <c r="B6" s="7" t="s">
        <v>6</v>
      </c>
      <c r="C6" s="12">
        <v>0</v>
      </c>
      <c r="D6" s="13">
        <v>5689</v>
      </c>
      <c r="E6" s="13">
        <v>80</v>
      </c>
      <c r="F6" s="16">
        <v>172</v>
      </c>
    </row>
    <row r="7" spans="1:6" x14ac:dyDescent="0.3">
      <c r="A7" s="4"/>
      <c r="B7" s="7" t="s">
        <v>7</v>
      </c>
      <c r="C7" s="12">
        <v>0</v>
      </c>
      <c r="D7" s="13">
        <v>2132</v>
      </c>
      <c r="E7" s="13">
        <v>0</v>
      </c>
      <c r="F7" s="16">
        <v>44.8</v>
      </c>
    </row>
    <row r="8" spans="1:6" x14ac:dyDescent="0.3">
      <c r="A8" s="4"/>
      <c r="B8" s="7" t="s">
        <v>8</v>
      </c>
      <c r="C8" s="12">
        <v>0</v>
      </c>
      <c r="D8" s="13">
        <v>3281.8</v>
      </c>
      <c r="E8" s="13">
        <v>0</v>
      </c>
      <c r="F8" s="16">
        <v>172.8</v>
      </c>
    </row>
    <row r="9" spans="1:6" x14ac:dyDescent="0.3">
      <c r="A9" s="4"/>
      <c r="B9" s="7" t="s">
        <v>9</v>
      </c>
      <c r="C9" s="12">
        <v>0</v>
      </c>
      <c r="D9" s="13">
        <v>4988.8</v>
      </c>
      <c r="E9" s="13">
        <v>0</v>
      </c>
      <c r="F9" s="16">
        <v>371.2</v>
      </c>
    </row>
    <row r="10" spans="1:6" x14ac:dyDescent="0.3">
      <c r="A10" s="4"/>
      <c r="B10" s="7" t="s">
        <v>10</v>
      </c>
      <c r="C10" s="12">
        <v>0</v>
      </c>
      <c r="D10" s="13">
        <v>2118</v>
      </c>
      <c r="E10" s="13">
        <v>0</v>
      </c>
      <c r="F10" s="16">
        <v>140</v>
      </c>
    </row>
    <row r="11" spans="1:6" x14ac:dyDescent="0.3">
      <c r="A11" s="4"/>
      <c r="B11" s="7" t="s">
        <v>11</v>
      </c>
      <c r="C11" s="12">
        <v>0</v>
      </c>
      <c r="D11" s="13">
        <v>2313</v>
      </c>
      <c r="E11" s="13">
        <v>0</v>
      </c>
      <c r="F11" s="16">
        <v>80</v>
      </c>
    </row>
    <row r="12" spans="1:6" x14ac:dyDescent="0.3">
      <c r="A12" s="6" t="s">
        <v>2</v>
      </c>
      <c r="B12" s="8"/>
      <c r="C12" s="17">
        <v>0</v>
      </c>
      <c r="D12" s="18">
        <v>31022.1</v>
      </c>
      <c r="E12" s="18">
        <v>80</v>
      </c>
      <c r="F12" s="19">
        <v>1275.8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evgenij-2002@bk.ru</dc:creator>
  <cp:lastModifiedBy>evgenij-2002@bk.ru</cp:lastModifiedBy>
  <dcterms:created xsi:type="dcterms:W3CDTF">2023-03-06T21:20:28Z</dcterms:created>
  <dcterms:modified xsi:type="dcterms:W3CDTF">2023-03-06T21:26:45Z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188744941,188744942,188744943,188744945,188744857,188744856,188743686,188744981,188744980,188744979,188743681,188744852,188744851,188743698,188744940,188743689,188744967,188744966,188743688,188743701,188743700,188744939,188744947,188744799,188743705,18874</vt:lpwstr>
  </property>
  <property fmtid="{D5CDD505-2E9C-101B-9397-08002B2CF9AE}" pid="3" name="P12ProjectFields1">
    <vt:lpwstr>4948,188744938,188744937,188744949,188744950,188744965,188743702,188743696,188744951,188743683,</vt:lpwstr>
  </property>
  <property fmtid="{D5CDD505-2E9C-101B-9397-08002B2CF9AE}" pid="4" name="P12ContainerType">
    <vt:lpwstr>TaskNTP.cub</vt:lpwstr>
  </property>
  <property fmtid="{D5CDD505-2E9C-101B-9397-08002B2CF9AE}" pid="5" name="P12Template">
    <vt:bool>true</vt:bool>
  </property>
</Properties>
</file>